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ruben/Documents/Proyectos/Proyectos en curso/FC/01_Documentacion/"/>
    </mc:Choice>
  </mc:AlternateContent>
  <xr:revisionPtr revIDLastSave="0" documentId="13_ncr:1_{71465D26-DFB9-E440-8328-737F39675926}" xr6:coauthVersionLast="47" xr6:coauthVersionMax="47" xr10:uidLastSave="{00000000-0000-0000-0000-000000000000}"/>
  <bookViews>
    <workbookView xWindow="460" yWindow="4820" windowWidth="28040" windowHeight="17440" xr2:uid="{C31A4786-3E4D-4040-B484-F78A9138C27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9" i="1" l="1"/>
  <c r="H9" i="1" s="1"/>
  <c r="K18" i="1" s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8" i="1"/>
  <c r="H7" i="1"/>
  <c r="H6" i="1"/>
  <c r="H5" i="1"/>
  <c r="E8" i="1"/>
  <c r="E15" i="1"/>
  <c r="E14" i="1"/>
  <c r="E13" i="1"/>
  <c r="E12" i="1"/>
  <c r="E7" i="1"/>
  <c r="E6" i="1"/>
  <c r="E5" i="1"/>
</calcChain>
</file>

<file path=xl/sharedStrings.xml><?xml version="1.0" encoding="utf-8"?>
<sst xmlns="http://schemas.openxmlformats.org/spreadsheetml/2006/main" count="38" uniqueCount="29">
  <si>
    <t>Link</t>
  </si>
  <si>
    <t>Kyrio A2212 2200KV</t>
  </si>
  <si>
    <t>Brushless motor</t>
  </si>
  <si>
    <t>Name</t>
  </si>
  <si>
    <t>Type</t>
  </si>
  <si>
    <t>Price</t>
  </si>
  <si>
    <t>Price/u</t>
  </si>
  <si>
    <t>Unitis</t>
  </si>
  <si>
    <t># Need Units</t>
  </si>
  <si>
    <t>Market link</t>
  </si>
  <si>
    <t>ESC 30A</t>
  </si>
  <si>
    <t>ESC</t>
  </si>
  <si>
    <t>GoolRC F450</t>
  </si>
  <si>
    <t>Chasis</t>
  </si>
  <si>
    <t>Piezas Drone</t>
  </si>
  <si>
    <t>Piezas Controlador</t>
  </si>
  <si>
    <t>MPU6050</t>
  </si>
  <si>
    <t xml:space="preserve">Gyro+Acc </t>
  </si>
  <si>
    <t>ESP32-WROOM-32</t>
  </si>
  <si>
    <t>Micro</t>
  </si>
  <si>
    <t>Arduino nano</t>
  </si>
  <si>
    <t>MB-102</t>
  </si>
  <si>
    <t>ProtoBoard</t>
  </si>
  <si>
    <t>T6A-V2</t>
  </si>
  <si>
    <t>Emisor/Receptor</t>
  </si>
  <si>
    <t>Baterias</t>
  </si>
  <si>
    <t>Battery</t>
  </si>
  <si>
    <t>Helices??</t>
  </si>
  <si>
    <t>Drone price: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</si>
</sst>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#,##0.00\ &quot;€&quot;"/>
  </numFmts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6" fontId="0" fillId="0" borderId="0" xfId="0" applyNumberFormat="1" applyAlignment="1">
      <alignment horizontal="center"/>
    </xf>
    <xf numFmtId="0" fontId="1" fillId="0" borderId="0" xfId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8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0" xfId="0" applyNumberFormat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hobbyking.com/es_es/turnigy-t6a-v2-afhds-mode-2-2-4ghz-6ch-transmitter-w-receiver.html" TargetMode="External"/><Relationship Id="rId3" Type="http://schemas.openxmlformats.org/officeDocument/2006/relationships/hyperlink" Target="https://www.amazon.es/GoolRC-Quadcopter-Multirotor-aumentar-aterrizaje/dp/B01CU539XC/ref=psdc_599386031_t2_B07W7KPVFY" TargetMode="External"/><Relationship Id="rId7" Type="http://schemas.openxmlformats.org/officeDocument/2006/relationships/hyperlink" Target="https://www.amazon.es/ELEGOO-ATmega328P-Compatible-Arduino-Proyecto/dp/B0716T2L77/ref=sr_1_1?__mk_es_ES=&#197;M&#197;&#381;&#213;&#209;&amp;crid=R7X4BN3ESLN&amp;keywords=arduino+nano+replica&amp;qid=1694889460&amp;sprefix=arduino+nano+replica%2Caps%2C112&amp;sr=8-1" TargetMode="External"/><Relationship Id="rId2" Type="http://schemas.openxmlformats.org/officeDocument/2006/relationships/hyperlink" Target="https://www.amazon.es/Kyrio-escobillas-Accesorios-Quadcopter-Multi-Copter/dp/B08N9YXF8R/?_encoding=UTF8&amp;pd_rd_w=3rkSX&amp;content-id=amzn1.sym.3a7306fe-daa0-4b4a-9249-d1fb14ff9ac7%3Aamzn1.symc.adba8a53-36db-43df-a081-77d28e1b71e6&amp;pf_rd_p=3a7306fe-daa0-4b4a-9249-d1fb14ff9ac7&amp;pf_rd_r=5RAD09P5496R6S4BQ314&amp;pd_rd_wg=7IDtf&amp;pd_rd_r=95ff8eed-3976-4a59-a263-09519ab18548&amp;ref_=pd_gw_ci_mcx_mr_hp_atf_m&amp;th=1" TargetMode="External"/><Relationship Id="rId1" Type="http://schemas.openxmlformats.org/officeDocument/2006/relationships/hyperlink" Target="https://www.amazon.es/Kyrio-escobillas-Accesorios-Quadcopter-Multi-Copter/dp/B08N9YXF8R/?_encoding=UTF8&amp;pd_rd_w=3rkSX&amp;content-id=amzn1.sym.3a7306fe-daa0-4b4a-9249-d1fb14ff9ac7%3Aamzn1.symc.adba8a53-36db-43df-a081-77d28e1b71e6&amp;pf_rd_p=3a7306fe-daa0-4b4a-9249-d1fb14ff9ac7&amp;pf_rd_r=5RAD09P5496R6S4BQ314&amp;pd_rd_wg=7IDtf&amp;pd_rd_r=95ff8eed-3976-4a59-a263-09519ab18548&amp;ref_=pd_gw_ci_mcx_mr_hp_atf_m&amp;th=1" TargetMode="External"/><Relationship Id="rId6" Type="http://schemas.openxmlformats.org/officeDocument/2006/relationships/hyperlink" Target="https://www.amazon.es/ELEGOO-ATmega328P-Compatible-Arduino-Proyecto/dp/B0716T2L77/ref=sr_1_1?__mk_es_ES=&#197;M&#197;&#381;&#213;&#209;&amp;crid=R7X4BN3ESLN&amp;keywords=arduino+nano+replica&amp;qid=1694889460&amp;sprefix=arduino+nano+replica%2Caps%2C112&amp;sr=8-1" TargetMode="External"/><Relationship Id="rId5" Type="http://schemas.openxmlformats.org/officeDocument/2006/relationships/hyperlink" Target="https://www.amazon.es/Diymore-ESP32-WROOM-32-Desarrollo-Bluetooth-CH340C/dp/B0C6QHLGJG/ref=sr_1_7?__mk_es_ES=&#197;M&#197;&#381;&#213;&#209;&amp;crid=V3GFIDZRCIGM&amp;keywords=esp32&amp;qid=1694889271&amp;sprefix=esp32%2Caps%2C130&amp;sr=8-7" TargetMode="External"/><Relationship Id="rId4" Type="http://schemas.openxmlformats.org/officeDocument/2006/relationships/hyperlink" Target="https://www.amazon.es/hiletgo-GY-521-MPU-6050-giroscopio-aceler&#243;metro-compatible/dp/B00LP25V1A/ref=sr_1_5?keywords=mpu6050&amp;qid=1694889099&amp;sr=8-5" TargetMode="External"/><Relationship Id="rId9" Type="http://schemas.openxmlformats.org/officeDocument/2006/relationships/hyperlink" Target="https://hobbyking.com/es_es/batteries-chargers/batteries/lipo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B0C41-8410-624E-AF94-9FD451043B7E}">
  <dimension ref="A1:N34"/>
  <sheetViews>
    <sheetView tabSelected="1" zoomScaleNormal="100" workbookViewId="0">
      <selection activeCell="J27" sqref="J27"/>
    </sheetView>
  </sheetViews>
  <sheetFormatPr baseColWidth="10" defaultRowHeight="16" x14ac:dyDescent="0.2"/>
  <cols>
    <col min="1" max="1" width="24.33203125" customWidth="1"/>
    <col min="2" max="2" width="17.83203125" customWidth="1"/>
    <col min="6" max="6" width="18.5" customWidth="1"/>
    <col min="7" max="7" width="14.6640625" customWidth="1"/>
    <col min="8" max="8" width="0" hidden="1" customWidth="1"/>
    <col min="10" max="10" width="20.5" customWidth="1"/>
    <col min="11" max="11" width="11.5" bestFit="1" customWidth="1"/>
  </cols>
  <sheetData>
    <row r="1" spans="1:14" x14ac:dyDescent="0.2">
      <c r="A1" t="s">
        <v>3</v>
      </c>
      <c r="B1" t="s">
        <v>4</v>
      </c>
      <c r="C1" t="s">
        <v>7</v>
      </c>
      <c r="D1" t="s">
        <v>5</v>
      </c>
      <c r="E1" t="s">
        <v>6</v>
      </c>
      <c r="F1" t="s">
        <v>8</v>
      </c>
      <c r="G1" t="s">
        <v>9</v>
      </c>
      <c r="H1" s="6"/>
    </row>
    <row r="4" spans="1:14" s="10" customFormat="1" x14ac:dyDescent="0.2">
      <c r="A4" s="8" t="s">
        <v>14</v>
      </c>
    </row>
    <row r="5" spans="1:14" x14ac:dyDescent="0.2">
      <c r="A5" s="1" t="s">
        <v>1</v>
      </c>
      <c r="B5" s="1" t="s">
        <v>2</v>
      </c>
      <c r="C5" s="1">
        <v>1</v>
      </c>
      <c r="D5" s="2">
        <v>13.59</v>
      </c>
      <c r="E5" s="4">
        <f>D5/C5</f>
        <v>13.59</v>
      </c>
      <c r="F5" s="1">
        <v>4</v>
      </c>
      <c r="G5" s="3" t="s">
        <v>0</v>
      </c>
      <c r="H5" s="4">
        <f>E5*F5</f>
        <v>54.36</v>
      </c>
      <c r="I5" s="1"/>
      <c r="J5" s="1"/>
      <c r="K5" s="1"/>
      <c r="L5" s="1"/>
      <c r="M5" s="1"/>
      <c r="N5" s="1"/>
    </row>
    <row r="6" spans="1:14" x14ac:dyDescent="0.2">
      <c r="A6" s="1" t="s">
        <v>10</v>
      </c>
      <c r="B6" s="1" t="s">
        <v>11</v>
      </c>
      <c r="C6" s="1">
        <v>1</v>
      </c>
      <c r="D6" s="2">
        <v>8.99</v>
      </c>
      <c r="E6" s="4">
        <f>D6/C6</f>
        <v>8.99</v>
      </c>
      <c r="F6" s="1">
        <v>4</v>
      </c>
      <c r="G6" s="3" t="s">
        <v>0</v>
      </c>
      <c r="H6" s="4">
        <f t="shared" ref="H6:H23" si="0">E6*F6</f>
        <v>35.96</v>
      </c>
      <c r="I6" s="1"/>
      <c r="J6" s="1"/>
      <c r="K6" s="1"/>
      <c r="L6" s="1"/>
      <c r="M6" s="1"/>
      <c r="N6" s="1"/>
    </row>
    <row r="7" spans="1:14" x14ac:dyDescent="0.2">
      <c r="A7" s="1" t="s">
        <v>12</v>
      </c>
      <c r="B7" s="1" t="s">
        <v>13</v>
      </c>
      <c r="C7" s="1">
        <v>1</v>
      </c>
      <c r="D7" s="2">
        <v>29.99</v>
      </c>
      <c r="E7" s="4">
        <f>D7/C7</f>
        <v>29.99</v>
      </c>
      <c r="F7" s="1">
        <v>1</v>
      </c>
      <c r="G7" s="3" t="s">
        <v>0</v>
      </c>
      <c r="H7" s="4">
        <f t="shared" si="0"/>
        <v>29.99</v>
      </c>
      <c r="I7" s="1"/>
      <c r="J7" s="1"/>
      <c r="K7" s="1"/>
      <c r="L7" s="1"/>
      <c r="M7" s="1"/>
      <c r="N7" s="1"/>
    </row>
    <row r="8" spans="1:14" x14ac:dyDescent="0.2">
      <c r="A8" s="1" t="s">
        <v>23</v>
      </c>
      <c r="B8" s="1" t="s">
        <v>24</v>
      </c>
      <c r="C8" s="1">
        <v>1</v>
      </c>
      <c r="D8" s="7">
        <v>28.14</v>
      </c>
      <c r="E8" s="4">
        <f>D8/C8</f>
        <v>28.14</v>
      </c>
      <c r="F8" s="1">
        <v>1</v>
      </c>
      <c r="G8" s="3" t="s">
        <v>0</v>
      </c>
      <c r="H8" s="4">
        <f t="shared" si="0"/>
        <v>28.14</v>
      </c>
      <c r="I8" s="1"/>
      <c r="J8" s="1"/>
      <c r="K8" s="1"/>
      <c r="L8" s="1"/>
      <c r="M8" s="1"/>
      <c r="N8" s="1"/>
    </row>
    <row r="9" spans="1:14" x14ac:dyDescent="0.2">
      <c r="A9" s="1" t="s">
        <v>25</v>
      </c>
      <c r="B9" s="1" t="s">
        <v>26</v>
      </c>
      <c r="C9" s="1">
        <v>1</v>
      </c>
      <c r="D9" s="7">
        <v>24.2</v>
      </c>
      <c r="E9" s="4">
        <f>D9/C9</f>
        <v>24.2</v>
      </c>
      <c r="F9" s="1">
        <v>2</v>
      </c>
      <c r="G9" s="3" t="s">
        <v>0</v>
      </c>
      <c r="H9" s="4">
        <f t="shared" si="0"/>
        <v>48.4</v>
      </c>
      <c r="I9" s="1"/>
      <c r="J9" s="1"/>
      <c r="K9" s="1"/>
      <c r="L9" s="1"/>
      <c r="M9" s="1"/>
      <c r="N9" s="1"/>
    </row>
    <row r="10" spans="1:14" x14ac:dyDescent="0.2">
      <c r="A10" s="1" t="s">
        <v>27</v>
      </c>
      <c r="B10" s="1"/>
      <c r="C10" s="1"/>
      <c r="D10" s="1"/>
      <c r="E10" s="1"/>
      <c r="F10" s="1"/>
      <c r="G10" s="1"/>
      <c r="H10" s="4">
        <f t="shared" si="0"/>
        <v>0</v>
      </c>
      <c r="I10" s="1"/>
      <c r="J10" s="1"/>
      <c r="K10" s="1"/>
      <c r="L10" s="1"/>
      <c r="M10" s="1"/>
      <c r="N10" s="1"/>
    </row>
    <row r="11" spans="1:14" s="10" customFormat="1" x14ac:dyDescent="0.2">
      <c r="A11" s="8" t="s">
        <v>15</v>
      </c>
      <c r="B11" s="9"/>
      <c r="C11" s="9"/>
      <c r="D11" s="9"/>
      <c r="E11" s="9"/>
      <c r="F11" s="9"/>
      <c r="G11" s="9"/>
      <c r="H11" s="4">
        <f t="shared" si="0"/>
        <v>0</v>
      </c>
      <c r="I11" s="9"/>
      <c r="J11" s="9"/>
      <c r="K11" s="9"/>
      <c r="L11" s="9"/>
      <c r="M11" s="9"/>
      <c r="N11" s="9"/>
    </row>
    <row r="12" spans="1:14" x14ac:dyDescent="0.2">
      <c r="A12" s="1" t="s">
        <v>16</v>
      </c>
      <c r="B12" s="1" t="s">
        <v>17</v>
      </c>
      <c r="C12" s="1">
        <v>3</v>
      </c>
      <c r="D12" s="2">
        <v>11.49</v>
      </c>
      <c r="E12" s="4">
        <f>D12/C12</f>
        <v>3.83</v>
      </c>
      <c r="F12" s="1">
        <v>1</v>
      </c>
      <c r="G12" s="3" t="s">
        <v>0</v>
      </c>
      <c r="H12" s="4">
        <f t="shared" si="0"/>
        <v>3.83</v>
      </c>
      <c r="I12" s="1"/>
      <c r="J12" s="1"/>
      <c r="K12" s="1"/>
      <c r="L12" s="1"/>
      <c r="M12" s="1"/>
      <c r="N12" s="1"/>
    </row>
    <row r="13" spans="1:14" x14ac:dyDescent="0.2">
      <c r="A13" s="1" t="s">
        <v>18</v>
      </c>
      <c r="B13" s="1" t="s">
        <v>19</v>
      </c>
      <c r="C13" s="1">
        <v>2</v>
      </c>
      <c r="D13" s="2">
        <v>11.99</v>
      </c>
      <c r="E13" s="4">
        <f>D13/C13</f>
        <v>5.9950000000000001</v>
      </c>
      <c r="F13" s="1">
        <v>1</v>
      </c>
      <c r="G13" s="3" t="s">
        <v>0</v>
      </c>
      <c r="H13" s="4">
        <f t="shared" si="0"/>
        <v>5.9950000000000001</v>
      </c>
      <c r="I13" s="1"/>
      <c r="J13" s="1"/>
      <c r="K13" s="1"/>
      <c r="L13" s="1"/>
      <c r="M13" s="1"/>
      <c r="N13" s="1"/>
    </row>
    <row r="14" spans="1:14" x14ac:dyDescent="0.2">
      <c r="A14" s="1" t="s">
        <v>20</v>
      </c>
      <c r="B14" s="1" t="s">
        <v>19</v>
      </c>
      <c r="C14" s="1">
        <v>3</v>
      </c>
      <c r="D14" s="2">
        <v>21.99</v>
      </c>
      <c r="E14" s="4">
        <f>D14/C14</f>
        <v>7.3299999999999992</v>
      </c>
      <c r="F14" s="1">
        <v>1</v>
      </c>
      <c r="G14" s="3" t="s">
        <v>0</v>
      </c>
      <c r="H14" s="4">
        <f t="shared" si="0"/>
        <v>7.3299999999999992</v>
      </c>
      <c r="I14" s="1"/>
      <c r="J14" s="1"/>
      <c r="K14" s="1"/>
      <c r="L14" s="1"/>
      <c r="M14" s="1"/>
      <c r="N14" s="1"/>
    </row>
    <row r="15" spans="1:14" x14ac:dyDescent="0.2">
      <c r="A15" s="1" t="s">
        <v>21</v>
      </c>
      <c r="B15" s="1" t="s">
        <v>22</v>
      </c>
      <c r="C15" s="1">
        <v>5</v>
      </c>
      <c r="D15" s="2">
        <v>8.49</v>
      </c>
      <c r="E15" s="4">
        <f>D15/C15</f>
        <v>1.698</v>
      </c>
      <c r="F15" s="1">
        <v>2</v>
      </c>
      <c r="G15" s="3" t="s">
        <v>0</v>
      </c>
      <c r="H15" s="4">
        <f t="shared" si="0"/>
        <v>3.3959999999999999</v>
      </c>
      <c r="I15" s="1"/>
      <c r="J15" s="1"/>
      <c r="K15" s="1"/>
      <c r="L15" s="1"/>
      <c r="M15" s="1"/>
      <c r="N15" s="1"/>
    </row>
    <row r="16" spans="1:14" x14ac:dyDescent="0.2">
      <c r="A16" s="1"/>
      <c r="B16" s="1"/>
      <c r="C16" s="1"/>
      <c r="D16" s="1"/>
      <c r="E16" s="1"/>
      <c r="F16" s="1"/>
      <c r="G16" s="1"/>
      <c r="H16" s="4">
        <f t="shared" si="0"/>
        <v>0</v>
      </c>
      <c r="I16" s="1"/>
      <c r="J16" s="1"/>
      <c r="K16" s="1"/>
      <c r="L16" s="1"/>
      <c r="M16" s="1"/>
      <c r="N16" s="1"/>
    </row>
    <row r="17" spans="1:14" x14ac:dyDescent="0.2">
      <c r="A17" s="1"/>
      <c r="B17" s="1"/>
      <c r="C17" s="1"/>
      <c r="D17" s="1"/>
      <c r="E17" s="1"/>
      <c r="F17" s="1"/>
      <c r="G17" s="1"/>
      <c r="H17" s="4">
        <f t="shared" si="0"/>
        <v>0</v>
      </c>
      <c r="I17" s="1"/>
      <c r="J17" s="1"/>
      <c r="K17" s="4"/>
      <c r="L17" s="1"/>
      <c r="M17" s="1"/>
      <c r="N17" s="1"/>
    </row>
    <row r="18" spans="1:14" x14ac:dyDescent="0.2">
      <c r="A18" s="1"/>
      <c r="B18" s="1"/>
      <c r="C18" s="1"/>
      <c r="D18" s="1"/>
      <c r="E18" s="1"/>
      <c r="F18" s="1"/>
      <c r="G18" s="1"/>
      <c r="H18" s="4">
        <f t="shared" si="0"/>
        <v>0</v>
      </c>
      <c r="I18" s="1"/>
      <c r="J18" s="1" t="s">
        <v>28</v>
      </c>
      <c r="K18" s="11">
        <f>SUM(H:H)</f>
        <v>217.40100000000001</v>
      </c>
      <c r="L18" s="1"/>
      <c r="M18" s="1"/>
      <c r="N18" s="1"/>
    </row>
    <row r="19" spans="1:14" x14ac:dyDescent="0.2">
      <c r="A19" s="1"/>
      <c r="B19" s="1"/>
      <c r="C19" s="1"/>
      <c r="D19" s="1"/>
      <c r="E19" s="1"/>
      <c r="F19" s="1"/>
      <c r="G19" s="1"/>
      <c r="H19" s="4">
        <f t="shared" si="0"/>
        <v>0</v>
      </c>
      <c r="I19" s="1"/>
      <c r="J19" s="1"/>
      <c r="K19" s="1"/>
      <c r="L19" s="1"/>
      <c r="M19" s="1"/>
      <c r="N19" s="1"/>
    </row>
    <row r="20" spans="1:14" x14ac:dyDescent="0.2">
      <c r="A20" s="1"/>
      <c r="B20" s="1"/>
      <c r="C20" s="1"/>
      <c r="D20" s="1"/>
      <c r="E20" s="1"/>
      <c r="F20" s="1"/>
      <c r="G20" s="1"/>
      <c r="H20" s="4">
        <f t="shared" si="0"/>
        <v>0</v>
      </c>
      <c r="I20" s="1"/>
      <c r="J20" s="1"/>
      <c r="K20" s="1"/>
      <c r="L20" s="1"/>
      <c r="M20" s="1"/>
      <c r="N20" s="1"/>
    </row>
    <row r="21" spans="1:14" x14ac:dyDescent="0.2">
      <c r="A21" s="1"/>
      <c r="B21" s="1"/>
      <c r="C21" s="1"/>
      <c r="D21" s="1"/>
      <c r="E21" s="1"/>
      <c r="F21" s="1"/>
      <c r="G21" s="1"/>
      <c r="H21" s="4">
        <f t="shared" si="0"/>
        <v>0</v>
      </c>
      <c r="I21" s="1"/>
      <c r="J21" s="5"/>
      <c r="K21" s="1"/>
      <c r="L21" s="1"/>
      <c r="M21" s="1"/>
      <c r="N21" s="1"/>
    </row>
    <row r="22" spans="1:14" x14ac:dyDescent="0.2">
      <c r="A22" s="1"/>
      <c r="B22" s="1"/>
      <c r="C22" s="1"/>
      <c r="D22" s="1"/>
      <c r="E22" s="1"/>
      <c r="F22" s="1"/>
      <c r="G22" s="1"/>
      <c r="H22" s="4">
        <f t="shared" si="0"/>
        <v>0</v>
      </c>
      <c r="I22" s="1"/>
      <c r="J22" s="1"/>
      <c r="K22" s="1"/>
      <c r="L22" s="1"/>
      <c r="M22" s="1"/>
      <c r="N22" s="1"/>
    </row>
    <row r="23" spans="1:14" x14ac:dyDescent="0.2">
      <c r="A23" s="1"/>
      <c r="B23" s="1"/>
      <c r="C23" s="1"/>
      <c r="D23" s="1"/>
      <c r="E23" s="1"/>
      <c r="F23" s="1"/>
      <c r="G23" s="1"/>
      <c r="H23" s="4">
        <f t="shared" si="0"/>
        <v>0</v>
      </c>
      <c r="I23" s="1"/>
      <c r="J23" s="1"/>
      <c r="K23" s="1"/>
      <c r="L23" s="1"/>
      <c r="M23" s="1"/>
      <c r="N23" s="1"/>
    </row>
    <row r="24" spans="1:14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</sheetData>
  <hyperlinks>
    <hyperlink ref="G5" r:id="rId1" xr:uid="{9C5873BD-4873-DB42-8D7C-A4C4BB7F4DE5}"/>
    <hyperlink ref="G6" r:id="rId2" xr:uid="{8498989B-8533-C54A-9ED7-C8A7EABD4AD8}"/>
    <hyperlink ref="G7" r:id="rId3" xr:uid="{E81B0940-025A-4644-B6E6-B67DAB6947C3}"/>
    <hyperlink ref="G12" r:id="rId4" xr:uid="{1EDDEDEF-2846-3F42-B499-66EB602552C4}"/>
    <hyperlink ref="G13" r:id="rId5" xr:uid="{23B0C47A-2541-144C-A534-125B91074AE4}"/>
    <hyperlink ref="G14" r:id="rId6" xr:uid="{D49EDEEF-931B-4044-BFCF-7C9D9B4E0AAD}"/>
    <hyperlink ref="G15" r:id="rId7" xr:uid="{0FC66F17-8B83-A845-BE6A-F21317A5718F}"/>
    <hyperlink ref="G8" r:id="rId8" xr:uid="{D1D657F3-E41D-FA43-80C1-96F3D41992B4}"/>
    <hyperlink ref="G9" r:id="rId9" location="q=&amp;idx=hbk_live_magento_es_es_products_hbk_price_stock_7_group_0_asc&amp;dFR%5Bconfig%5D%5B0%5D=3&amp;dFR%5Bin_stock%5D%5B0%5D=1&amp;dFR%5Bwarehouses%5D%5B0%5D=Global&amp;dFR%5Bwarehouses%5D%5B1%5D=EU&amp;dFR%5Bwarehouses_stock_data%5D%5B0%5D=Global%7C3&amp;dFR%5Bwarehouses_stock_data%5D%5B1%5D=EU%7C3&amp;hFR%5Bcategories.level0%5D%5B0%5D=Cargadores%20de%20Bater%C3%ADas%20%2F%2F%2F%20Bater%C3%ADas%20%2F%2F%2F%20LiPo&amp;nR%5Bcapacity%5D%5B%3E%3D%5D%5B0%5D=5000&amp;is_v=1" xr:uid="{6019A14D-BE0E-4549-AD81-B02CE6D45A62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Juánez</dc:creator>
  <cp:lastModifiedBy>Rubén Juánez</cp:lastModifiedBy>
  <dcterms:created xsi:type="dcterms:W3CDTF">2023-07-31T13:07:54Z</dcterms:created>
  <dcterms:modified xsi:type="dcterms:W3CDTF">2023-09-16T19:13:19Z</dcterms:modified>
</cp:coreProperties>
</file>
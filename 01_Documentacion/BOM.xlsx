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uben/Documents/Proyectos/Proyectos en curso/FC/01_Documentacion/"/>
    </mc:Choice>
  </mc:AlternateContent>
  <xr:revisionPtr revIDLastSave="0" documentId="13_ncr:1_{0B9760CB-FA89-E344-9152-7678B2BB9B89}" xr6:coauthVersionLast="47" xr6:coauthVersionMax="47" xr10:uidLastSave="{00000000-0000-0000-0000-000000000000}"/>
  <bookViews>
    <workbookView xWindow="0" yWindow="880" windowWidth="41120" windowHeight="25700" xr2:uid="{C31A4786-3E4D-4040-B484-F78A9138C2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E11" i="1"/>
  <c r="E10" i="1"/>
  <c r="I7" i="1"/>
  <c r="I16" i="1"/>
  <c r="E9" i="1"/>
  <c r="I9" i="1" s="1"/>
  <c r="I25" i="1"/>
  <c r="I24" i="1"/>
  <c r="I23" i="1"/>
  <c r="I22" i="1"/>
  <c r="I21" i="1"/>
  <c r="I20" i="1"/>
  <c r="I19" i="1"/>
  <c r="I18" i="1"/>
  <c r="I13" i="1"/>
  <c r="I10" i="1"/>
  <c r="E8" i="1"/>
  <c r="I8" i="1" s="1"/>
  <c r="E17" i="1"/>
  <c r="I17" i="1" s="1"/>
  <c r="E16" i="1"/>
  <c r="E15" i="1"/>
  <c r="I15" i="1" s="1"/>
  <c r="E14" i="1"/>
  <c r="I14" i="1" s="1"/>
  <c r="E7" i="1"/>
  <c r="E6" i="1"/>
  <c r="I6" i="1" s="1"/>
  <c r="E5" i="1"/>
  <c r="I5" i="1" s="1"/>
  <c r="K20" i="1" l="1"/>
</calcChain>
</file>

<file path=xl/sharedStrings.xml><?xml version="1.0" encoding="utf-8"?>
<sst xmlns="http://schemas.openxmlformats.org/spreadsheetml/2006/main" count="46" uniqueCount="33">
  <si>
    <t>Link</t>
  </si>
  <si>
    <t>Kyrio A2212 2200KV</t>
  </si>
  <si>
    <t>Brushless motor</t>
  </si>
  <si>
    <t>Name</t>
  </si>
  <si>
    <t>Type</t>
  </si>
  <si>
    <t>Price</t>
  </si>
  <si>
    <t>Price/u</t>
  </si>
  <si>
    <t>Unitis</t>
  </si>
  <si>
    <t># Need Units</t>
  </si>
  <si>
    <t>Market link</t>
  </si>
  <si>
    <t>ESC 30A</t>
  </si>
  <si>
    <t>ESC</t>
  </si>
  <si>
    <t>GoolRC F450</t>
  </si>
  <si>
    <t>Chasis</t>
  </si>
  <si>
    <t>Piezas Drone</t>
  </si>
  <si>
    <t>Piezas Controlador</t>
  </si>
  <si>
    <t>MPU6050</t>
  </si>
  <si>
    <t xml:space="preserve">Gyro+Acc </t>
  </si>
  <si>
    <t>ESP32-WROOM-32</t>
  </si>
  <si>
    <t>Micro</t>
  </si>
  <si>
    <t>Arduino nano</t>
  </si>
  <si>
    <t>MB-102</t>
  </si>
  <si>
    <t>ProtoBoard</t>
  </si>
  <si>
    <t>T6A-V2</t>
  </si>
  <si>
    <t>Emisor/Receptor</t>
  </si>
  <si>
    <t>Baterias</t>
  </si>
  <si>
    <t>Battery</t>
  </si>
  <si>
    <t>Helices??</t>
  </si>
  <si>
    <t>Drone price:</t>
  </si>
  <si>
    <t>Opciones</t>
  </si>
  <si>
    <t>NO</t>
  </si>
  <si>
    <t>PDB</t>
  </si>
  <si>
    <t xml:space="preserve">ANGEEK PDB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</si>
</sst>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0" fontId="1" fillId="0" borderId="0" xfId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8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7F0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obbyking.com/es_es/turnigy-t6a-v2-afhds-mode-2-2-4ghz-6ch-transmitter-w-receiver.html" TargetMode="External"/><Relationship Id="rId3" Type="http://schemas.openxmlformats.org/officeDocument/2006/relationships/hyperlink" Target="https://www.amazon.es/GoolRC-Quadcopter-Multirotor-aumentar-aterrizaje/dp/B01CU539XC/ref=psdc_599386031_t2_B07W7KPVFY" TargetMode="External"/><Relationship Id="rId7" Type="http://schemas.openxmlformats.org/officeDocument/2006/relationships/hyperlink" Target="https://www.amazon.es/ELEGOO-ATmega328P-Compatible-Arduino-Proyecto/dp/B0716T2L77/ref=sr_1_1?__mk_es_ES=&#197;M&#197;&#381;&#213;&#209;&amp;crid=R7X4BN3ESLN&amp;keywords=arduino+nano+replica&amp;qid=1694889460&amp;sprefix=arduino+nano+replica%2Caps%2C112&amp;sr=8-1" TargetMode="External"/><Relationship Id="rId2" Type="http://schemas.openxmlformats.org/officeDocument/2006/relationships/hyperlink" Target="https://www.amazon.es/Kyrio-escobillas-Accesorios-Quadcopter-Multi-Copter/dp/B08N9YXF8R/?_encoding=UTF8&amp;pd_rd_w=3rkSX&amp;content-id=amzn1.sym.3a7306fe-daa0-4b4a-9249-d1fb14ff9ac7%3Aamzn1.symc.adba8a53-36db-43df-a081-77d28e1b71e6&amp;pf_rd_p=3a7306fe-daa0-4b4a-9249-d1fb14ff9ac7&amp;pf_rd_r=5RAD09P5496R6S4BQ314&amp;pd_rd_wg=7IDtf&amp;pd_rd_r=95ff8eed-3976-4a59-a263-09519ab18548&amp;ref_=pd_gw_ci_mcx_mr_hp_atf_m&amp;th=1" TargetMode="External"/><Relationship Id="rId1" Type="http://schemas.openxmlformats.org/officeDocument/2006/relationships/hyperlink" Target="https://www.amazon.es/Kyrio-escobillas-Accesorios-Quadcopter-Multi-Copter/dp/B08N9YXF8R/?_encoding=UTF8&amp;pd_rd_w=3rkSX&amp;content-id=amzn1.sym.3a7306fe-daa0-4b4a-9249-d1fb14ff9ac7%3Aamzn1.symc.adba8a53-36db-43df-a081-77d28e1b71e6&amp;pf_rd_p=3a7306fe-daa0-4b4a-9249-d1fb14ff9ac7&amp;pf_rd_r=5RAD09P5496R6S4BQ314&amp;pd_rd_wg=7IDtf&amp;pd_rd_r=95ff8eed-3976-4a59-a263-09519ab18548&amp;ref_=pd_gw_ci_mcx_mr_hp_atf_m&amp;th=1" TargetMode="External"/><Relationship Id="rId6" Type="http://schemas.openxmlformats.org/officeDocument/2006/relationships/hyperlink" Target="https://www.amazon.es/ELEGOO-ATmega328P-Compatible-Arduino-Proyecto/dp/B0716T2L77/ref=sr_1_1?__mk_es_ES=&#197;M&#197;&#381;&#213;&#209;&amp;crid=R7X4BN3ESLN&amp;keywords=arduino+nano+replica&amp;qid=1694889460&amp;sprefix=arduino+nano+replica%2Caps%2C112&amp;sr=8-1" TargetMode="External"/><Relationship Id="rId5" Type="http://schemas.openxmlformats.org/officeDocument/2006/relationships/hyperlink" Target="https://www.amazon.es/Diymore-ESP32-WROOM-32-Desarrollo-Bluetooth-CH340C/dp/B0C6QHLGJG/ref=sr_1_7?__mk_es_ES=&#197;M&#197;&#381;&#213;&#209;&amp;crid=V3GFIDZRCIGM&amp;keywords=esp32&amp;qid=1694889271&amp;sprefix=esp32%2Caps%2C130&amp;sr=8-7" TargetMode="External"/><Relationship Id="rId10" Type="http://schemas.openxmlformats.org/officeDocument/2006/relationships/hyperlink" Target="https://hobbyking.com/es_es/batteries-chargers/batteries/lipo.html" TargetMode="External"/><Relationship Id="rId4" Type="http://schemas.openxmlformats.org/officeDocument/2006/relationships/hyperlink" Target="https://www.amazon.es/hiletgo-GY-521-MPU-6050-giroscopio-aceler&#243;metro-compatible/dp/B00LP25V1A/ref=sr_1_5?keywords=mpu6050&amp;qid=1694889099&amp;sr=8-5" TargetMode="External"/><Relationship Id="rId9" Type="http://schemas.openxmlformats.org/officeDocument/2006/relationships/hyperlink" Target="https://hobbyking.com/es_es/batteries-chargers/batteries/lip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0C41-8410-624E-AF94-9FD451043B7E}">
  <dimension ref="A1:N36"/>
  <sheetViews>
    <sheetView tabSelected="1" zoomScale="112" zoomScaleNormal="100" workbookViewId="0">
      <selection activeCell="C32" sqref="C32"/>
    </sheetView>
  </sheetViews>
  <sheetFormatPr baseColWidth="10" defaultRowHeight="16" x14ac:dyDescent="0.2"/>
  <cols>
    <col min="1" max="1" width="24.33203125" customWidth="1"/>
    <col min="2" max="2" width="17.83203125" customWidth="1"/>
    <col min="3" max="3" width="21.33203125" customWidth="1"/>
    <col min="6" max="6" width="18.5" customWidth="1"/>
    <col min="7" max="7" width="14.6640625" customWidth="1"/>
    <col min="9" max="9" width="10.83203125" hidden="1" customWidth="1"/>
    <col min="10" max="10" width="20.5" customWidth="1"/>
    <col min="11" max="11" width="11.5" bestFit="1" customWidth="1"/>
  </cols>
  <sheetData>
    <row r="1" spans="1:14" x14ac:dyDescent="0.2">
      <c r="A1" t="s">
        <v>3</v>
      </c>
      <c r="B1" t="s">
        <v>4</v>
      </c>
      <c r="C1" t="s">
        <v>7</v>
      </c>
      <c r="D1" t="s">
        <v>5</v>
      </c>
      <c r="E1" t="s">
        <v>6</v>
      </c>
      <c r="F1" t="s">
        <v>8</v>
      </c>
      <c r="G1" t="s">
        <v>9</v>
      </c>
      <c r="I1" s="6"/>
    </row>
    <row r="4" spans="1:14" s="10" customFormat="1" x14ac:dyDescent="0.2">
      <c r="A4" s="8" t="s">
        <v>14</v>
      </c>
    </row>
    <row r="5" spans="1:14" x14ac:dyDescent="0.2">
      <c r="A5" s="1" t="s">
        <v>1</v>
      </c>
      <c r="B5" s="1" t="s">
        <v>2</v>
      </c>
      <c r="C5" s="1">
        <v>1</v>
      </c>
      <c r="D5" s="2">
        <v>13.59</v>
      </c>
      <c r="E5" s="4">
        <f>D5/C5</f>
        <v>13.59</v>
      </c>
      <c r="F5" s="1">
        <v>4</v>
      </c>
      <c r="G5" s="3" t="s">
        <v>0</v>
      </c>
      <c r="I5" s="4">
        <f>E5*F5</f>
        <v>54.36</v>
      </c>
      <c r="J5" s="1"/>
      <c r="K5" s="1"/>
      <c r="L5" s="1"/>
      <c r="M5" s="1"/>
      <c r="N5" s="1"/>
    </row>
    <row r="6" spans="1:14" x14ac:dyDescent="0.2">
      <c r="A6" s="1" t="s">
        <v>10</v>
      </c>
      <c r="B6" s="1" t="s">
        <v>11</v>
      </c>
      <c r="C6" s="1">
        <v>1</v>
      </c>
      <c r="D6" s="2">
        <v>8.99</v>
      </c>
      <c r="E6" s="4">
        <f>D6/C6</f>
        <v>8.99</v>
      </c>
      <c r="F6" s="1">
        <v>4</v>
      </c>
      <c r="G6" s="3" t="s">
        <v>0</v>
      </c>
      <c r="I6" s="4">
        <f>E6*F6</f>
        <v>35.96</v>
      </c>
      <c r="J6" s="1"/>
      <c r="K6" s="1"/>
      <c r="L6" s="1"/>
      <c r="M6" s="1"/>
      <c r="N6" s="1"/>
    </row>
    <row r="7" spans="1:14" x14ac:dyDescent="0.2">
      <c r="A7" s="1" t="s">
        <v>12</v>
      </c>
      <c r="B7" s="1" t="s">
        <v>13</v>
      </c>
      <c r="C7" s="1">
        <v>1</v>
      </c>
      <c r="D7" s="2">
        <v>29.99</v>
      </c>
      <c r="E7" s="4">
        <f>D7/C7</f>
        <v>29.99</v>
      </c>
      <c r="F7" s="1">
        <v>1</v>
      </c>
      <c r="G7" s="3" t="s">
        <v>0</v>
      </c>
      <c r="I7" s="4">
        <f>IF(C25="YES",E7*F7,0)</f>
        <v>0</v>
      </c>
      <c r="J7" s="1"/>
      <c r="K7" s="1"/>
      <c r="L7" s="1"/>
      <c r="M7" s="1"/>
      <c r="N7" s="1"/>
    </row>
    <row r="8" spans="1:14" x14ac:dyDescent="0.2">
      <c r="A8" s="1" t="s">
        <v>23</v>
      </c>
      <c r="B8" s="1" t="s">
        <v>24</v>
      </c>
      <c r="C8" s="1">
        <v>1</v>
      </c>
      <c r="D8" s="7">
        <v>28.14</v>
      </c>
      <c r="E8" s="4">
        <f>D8/C8</f>
        <v>28.14</v>
      </c>
      <c r="F8" s="1">
        <v>1</v>
      </c>
      <c r="G8" s="3" t="s">
        <v>0</v>
      </c>
      <c r="I8" s="4">
        <f>E8*F8</f>
        <v>28.14</v>
      </c>
      <c r="J8" s="1"/>
      <c r="K8" s="1"/>
      <c r="L8" s="1"/>
      <c r="M8" s="1"/>
      <c r="N8" s="1"/>
    </row>
    <row r="9" spans="1:14" x14ac:dyDescent="0.2">
      <c r="A9" s="1" t="s">
        <v>25</v>
      </c>
      <c r="B9" s="1" t="s">
        <v>26</v>
      </c>
      <c r="C9" s="1">
        <v>1</v>
      </c>
      <c r="D9" s="7">
        <v>24.2</v>
      </c>
      <c r="E9" s="4">
        <f>D9/C9</f>
        <v>24.2</v>
      </c>
      <c r="F9" s="1">
        <v>2</v>
      </c>
      <c r="G9" s="3" t="s">
        <v>0</v>
      </c>
      <c r="I9" s="4">
        <f>E9*F9</f>
        <v>48.4</v>
      </c>
      <c r="J9" s="1"/>
      <c r="K9" s="1"/>
      <c r="L9" s="1"/>
      <c r="M9" s="1"/>
      <c r="N9" s="1"/>
    </row>
    <row r="10" spans="1:14" x14ac:dyDescent="0.2">
      <c r="A10" s="1" t="s">
        <v>27</v>
      </c>
      <c r="B10" s="1"/>
      <c r="C10" s="1">
        <v>1</v>
      </c>
      <c r="D10" s="1">
        <v>10</v>
      </c>
      <c r="E10" s="1">
        <f>D10/C10</f>
        <v>10</v>
      </c>
      <c r="F10" s="1">
        <v>1</v>
      </c>
      <c r="G10" s="1"/>
      <c r="I10" s="4">
        <f>E10*F10</f>
        <v>10</v>
      </c>
      <c r="J10" s="1"/>
      <c r="K10" s="1"/>
      <c r="L10" s="1"/>
      <c r="M10" s="1"/>
      <c r="N10" s="1"/>
    </row>
    <row r="11" spans="1:14" x14ac:dyDescent="0.2">
      <c r="A11" s="1" t="s">
        <v>32</v>
      </c>
      <c r="B11" s="1" t="s">
        <v>31</v>
      </c>
      <c r="C11" s="1">
        <v>1</v>
      </c>
      <c r="D11" s="7">
        <v>10.99</v>
      </c>
      <c r="E11" s="4">
        <f>D11/C11</f>
        <v>10.99</v>
      </c>
      <c r="F11" s="1">
        <v>1</v>
      </c>
      <c r="G11" s="3" t="s">
        <v>0</v>
      </c>
      <c r="I11" s="4">
        <f>E11*F11</f>
        <v>10.99</v>
      </c>
      <c r="J11" s="1"/>
      <c r="K11" s="1"/>
      <c r="L11" s="1"/>
      <c r="M11" s="1"/>
      <c r="N11" s="1"/>
    </row>
    <row r="12" spans="1:14" x14ac:dyDescent="0.2">
      <c r="A12" s="1"/>
      <c r="B12" s="1"/>
      <c r="C12" s="1"/>
      <c r="D12" s="1"/>
      <c r="E12" s="1"/>
      <c r="F12" s="1"/>
      <c r="G12" s="1"/>
      <c r="I12" s="4">
        <f>E12*F12</f>
        <v>0</v>
      </c>
      <c r="J12" s="1"/>
      <c r="K12" s="1"/>
      <c r="L12" s="1"/>
      <c r="M12" s="1"/>
      <c r="N12" s="1"/>
    </row>
    <row r="13" spans="1:14" s="10" customFormat="1" x14ac:dyDescent="0.2">
      <c r="A13" s="8" t="s">
        <v>15</v>
      </c>
      <c r="B13" s="9"/>
      <c r="C13" s="9"/>
      <c r="D13" s="9"/>
      <c r="E13" s="9"/>
      <c r="F13" s="9"/>
      <c r="G13" s="9"/>
      <c r="I13" s="4">
        <f>E13*F13</f>
        <v>0</v>
      </c>
      <c r="J13" s="9"/>
      <c r="K13" s="9"/>
      <c r="L13" s="9"/>
      <c r="M13" s="9"/>
      <c r="N13" s="9"/>
    </row>
    <row r="14" spans="1:14" x14ac:dyDescent="0.2">
      <c r="A14" s="1" t="s">
        <v>16</v>
      </c>
      <c r="B14" s="1" t="s">
        <v>17</v>
      </c>
      <c r="C14" s="1">
        <v>3</v>
      </c>
      <c r="D14" s="2">
        <v>11.49</v>
      </c>
      <c r="E14" s="4">
        <f>D14/C14</f>
        <v>3.83</v>
      </c>
      <c r="F14" s="1">
        <v>1</v>
      </c>
      <c r="G14" s="3" t="s">
        <v>0</v>
      </c>
      <c r="I14" s="4">
        <f>E14*F14</f>
        <v>3.83</v>
      </c>
      <c r="J14" s="1"/>
      <c r="K14" s="1"/>
      <c r="L14" s="1"/>
      <c r="M14" s="1"/>
      <c r="N14" s="1"/>
    </row>
    <row r="15" spans="1:14" x14ac:dyDescent="0.2">
      <c r="A15" s="1" t="s">
        <v>18</v>
      </c>
      <c r="B15" s="1" t="s">
        <v>19</v>
      </c>
      <c r="C15" s="1">
        <v>2</v>
      </c>
      <c r="D15" s="2">
        <v>11.99</v>
      </c>
      <c r="E15" s="4">
        <f>D15/C15</f>
        <v>5.9950000000000001</v>
      </c>
      <c r="F15" s="1">
        <v>1</v>
      </c>
      <c r="G15" s="3" t="s">
        <v>0</v>
      </c>
      <c r="I15" s="4">
        <f>IF(C24=A15,E15*F15,0)</f>
        <v>5.9950000000000001</v>
      </c>
      <c r="J15" s="1"/>
      <c r="K15" s="1"/>
      <c r="L15" s="1"/>
      <c r="M15" s="1"/>
      <c r="N15" s="1"/>
    </row>
    <row r="16" spans="1:14" x14ac:dyDescent="0.2">
      <c r="A16" s="1" t="s">
        <v>20</v>
      </c>
      <c r="B16" s="1" t="s">
        <v>19</v>
      </c>
      <c r="C16" s="1">
        <v>3</v>
      </c>
      <c r="D16" s="2">
        <v>21.99</v>
      </c>
      <c r="E16" s="4">
        <f>D16/C16</f>
        <v>7.3299999999999992</v>
      </c>
      <c r="F16" s="1">
        <v>1</v>
      </c>
      <c r="G16" s="3" t="s">
        <v>0</v>
      </c>
      <c r="I16" s="4">
        <f>IF(C24=A16,E16*F16,0)</f>
        <v>0</v>
      </c>
      <c r="J16" s="1"/>
      <c r="K16" s="1"/>
      <c r="L16" s="1"/>
      <c r="M16" s="1"/>
      <c r="N16" s="1"/>
    </row>
    <row r="17" spans="1:14" x14ac:dyDescent="0.2">
      <c r="A17" s="1" t="s">
        <v>21</v>
      </c>
      <c r="B17" s="1" t="s">
        <v>22</v>
      </c>
      <c r="C17" s="1">
        <v>5</v>
      </c>
      <c r="D17" s="2">
        <v>8.49</v>
      </c>
      <c r="E17" s="4">
        <f>D17/C17</f>
        <v>1.698</v>
      </c>
      <c r="F17" s="1">
        <v>2</v>
      </c>
      <c r="G17" s="3" t="s">
        <v>0</v>
      </c>
      <c r="I17" s="4">
        <f>E17*F17</f>
        <v>3.3959999999999999</v>
      </c>
      <c r="J17" s="1"/>
      <c r="K17" s="1"/>
      <c r="L17" s="1"/>
      <c r="M17" s="1"/>
      <c r="N17" s="1"/>
    </row>
    <row r="18" spans="1:14" x14ac:dyDescent="0.2">
      <c r="A18" s="1"/>
      <c r="B18" s="1"/>
      <c r="C18" s="1"/>
      <c r="D18" s="1"/>
      <c r="E18" s="1"/>
      <c r="F18" s="1"/>
      <c r="G18" s="1"/>
      <c r="I18" s="4">
        <f>E18*F18</f>
        <v>0</v>
      </c>
      <c r="J18" s="1"/>
      <c r="K18" s="1"/>
      <c r="L18" s="1"/>
      <c r="M18" s="1"/>
      <c r="N18" s="1"/>
    </row>
    <row r="19" spans="1:14" x14ac:dyDescent="0.2">
      <c r="A19" s="1"/>
      <c r="B19" s="1"/>
      <c r="C19" s="1"/>
      <c r="D19" s="1"/>
      <c r="E19" s="1"/>
      <c r="F19" s="1"/>
      <c r="G19" s="1"/>
      <c r="I19" s="4">
        <f>E19*F19</f>
        <v>0</v>
      </c>
      <c r="J19" s="1"/>
      <c r="K19" s="4"/>
      <c r="L19" s="1"/>
      <c r="M19" s="1"/>
      <c r="N19" s="1"/>
    </row>
    <row r="20" spans="1:14" x14ac:dyDescent="0.2">
      <c r="A20" s="1"/>
      <c r="B20" s="1"/>
      <c r="C20" s="1"/>
      <c r="D20" s="1"/>
      <c r="E20" s="1"/>
      <c r="F20" s="1"/>
      <c r="G20" s="1"/>
      <c r="I20" s="4">
        <f>E20*F20</f>
        <v>0</v>
      </c>
      <c r="J20" s="1" t="s">
        <v>28</v>
      </c>
      <c r="K20" s="11">
        <f>SUM(I:I)</f>
        <v>201.071</v>
      </c>
      <c r="L20" s="1"/>
      <c r="M20" s="1"/>
      <c r="N20" s="1"/>
    </row>
    <row r="21" spans="1:14" x14ac:dyDescent="0.2">
      <c r="A21" s="1"/>
      <c r="B21" s="1"/>
      <c r="C21" s="1"/>
      <c r="D21" s="1"/>
      <c r="E21" s="1"/>
      <c r="F21" s="1"/>
      <c r="G21" s="1"/>
      <c r="I21" s="4">
        <f>E21*F21</f>
        <v>0</v>
      </c>
      <c r="J21" s="1"/>
      <c r="K21" s="1"/>
      <c r="L21" s="1"/>
      <c r="M21" s="1"/>
      <c r="N21" s="1"/>
    </row>
    <row r="22" spans="1:14" ht="17" thickBot="1" x14ac:dyDescent="0.25">
      <c r="A22" s="1"/>
      <c r="B22" s="1"/>
      <c r="C22" s="1"/>
      <c r="D22" s="1"/>
      <c r="E22" s="1"/>
      <c r="F22" s="1"/>
      <c r="G22" s="1"/>
      <c r="I22" s="4">
        <f>E22*F22</f>
        <v>0</v>
      </c>
      <c r="J22" s="1"/>
      <c r="K22" s="1"/>
      <c r="L22" s="1"/>
      <c r="M22" s="1"/>
      <c r="N22" s="1"/>
    </row>
    <row r="23" spans="1:14" x14ac:dyDescent="0.2">
      <c r="A23" s="1"/>
      <c r="B23" s="12" t="s">
        <v>29</v>
      </c>
      <c r="C23" s="13"/>
      <c r="D23" s="1"/>
      <c r="E23" s="1"/>
      <c r="F23" s="1"/>
      <c r="G23" s="1"/>
      <c r="I23" s="4">
        <f>E23*F23</f>
        <v>0</v>
      </c>
      <c r="J23" s="5"/>
      <c r="K23" s="1"/>
      <c r="L23" s="1"/>
      <c r="M23" s="1"/>
      <c r="N23" s="1"/>
    </row>
    <row r="24" spans="1:14" x14ac:dyDescent="0.2">
      <c r="A24" s="1"/>
      <c r="B24" s="14" t="s">
        <v>19</v>
      </c>
      <c r="C24" s="15" t="s">
        <v>18</v>
      </c>
      <c r="D24" s="1"/>
      <c r="E24" s="1"/>
      <c r="F24" s="1"/>
      <c r="G24" s="1"/>
      <c r="I24" s="4">
        <f>E24*F24</f>
        <v>0</v>
      </c>
      <c r="J24" s="1"/>
      <c r="K24" s="1"/>
      <c r="L24" s="1"/>
      <c r="M24" s="1"/>
      <c r="N24" s="1"/>
    </row>
    <row r="25" spans="1:14" x14ac:dyDescent="0.2">
      <c r="A25" s="1"/>
      <c r="B25" s="14" t="s">
        <v>13</v>
      </c>
      <c r="C25" s="15" t="s">
        <v>30</v>
      </c>
      <c r="D25" s="1"/>
      <c r="E25" s="1"/>
      <c r="F25" s="1"/>
      <c r="G25" s="1"/>
      <c r="I25" s="4">
        <f>E25*F25</f>
        <v>0</v>
      </c>
      <c r="J25" s="1"/>
      <c r="K25" s="1"/>
      <c r="L25" s="1"/>
      <c r="M25" s="1"/>
      <c r="N25" s="1"/>
    </row>
    <row r="26" spans="1:14" x14ac:dyDescent="0.2">
      <c r="A26" s="1"/>
      <c r="B26" s="14"/>
      <c r="C26" s="15"/>
      <c r="D26" s="1"/>
      <c r="E26" s="1"/>
      <c r="F26" s="1"/>
      <c r="G26" s="1"/>
      <c r="I26" s="1"/>
      <c r="J26" s="1"/>
      <c r="K26" s="1"/>
      <c r="L26" s="1"/>
      <c r="M26" s="1"/>
      <c r="N26" s="1"/>
    </row>
    <row r="27" spans="1:14" x14ac:dyDescent="0.2">
      <c r="A27" s="1"/>
      <c r="B27" s="14"/>
      <c r="C27" s="15"/>
      <c r="D27" s="1"/>
      <c r="E27" s="1"/>
      <c r="F27" s="1"/>
      <c r="G27" s="1"/>
      <c r="I27" s="1"/>
      <c r="J27" s="1"/>
      <c r="K27" s="1"/>
      <c r="L27" s="1"/>
      <c r="M27" s="1"/>
      <c r="N27" s="1"/>
    </row>
    <row r="28" spans="1:14" x14ac:dyDescent="0.2">
      <c r="A28" s="1"/>
      <c r="B28" s="14"/>
      <c r="C28" s="15"/>
      <c r="D28" s="1"/>
      <c r="E28" s="1"/>
      <c r="F28" s="1"/>
      <c r="G28" s="1"/>
      <c r="I28" s="1"/>
      <c r="J28" s="1"/>
      <c r="K28" s="1"/>
      <c r="L28" s="1"/>
      <c r="M28" s="1"/>
      <c r="N28" s="1"/>
    </row>
    <row r="29" spans="1:14" x14ac:dyDescent="0.2">
      <c r="A29" s="1"/>
      <c r="B29" s="14"/>
      <c r="C29" s="15"/>
      <c r="D29" s="1"/>
      <c r="E29" s="1"/>
      <c r="F29" s="1"/>
      <c r="G29" s="1"/>
      <c r="I29" s="1"/>
      <c r="J29" s="1"/>
      <c r="K29" s="1"/>
      <c r="L29" s="1"/>
      <c r="M29" s="1"/>
      <c r="N29" s="1"/>
    </row>
    <row r="30" spans="1:14" x14ac:dyDescent="0.2">
      <c r="A30" s="1"/>
      <c r="B30" s="14"/>
      <c r="C30" s="15"/>
      <c r="D30" s="1"/>
      <c r="E30" s="1"/>
      <c r="F30" s="1"/>
      <c r="G30" s="1"/>
      <c r="I30" s="1"/>
      <c r="J30" s="1"/>
      <c r="K30" s="1"/>
      <c r="L30" s="1"/>
      <c r="M30" s="1"/>
      <c r="N30" s="1"/>
    </row>
    <row r="31" spans="1:14" x14ac:dyDescent="0.2">
      <c r="A31" s="1"/>
      <c r="B31" s="14"/>
      <c r="C31" s="15"/>
      <c r="D31" s="1"/>
      <c r="E31" s="1"/>
      <c r="F31" s="1"/>
      <c r="G31" s="1"/>
      <c r="I31" s="1"/>
      <c r="J31" s="1"/>
      <c r="K31" s="1"/>
      <c r="L31" s="1"/>
      <c r="M31" s="1"/>
      <c r="N31" s="1"/>
    </row>
    <row r="32" spans="1:14" ht="17" thickBot="1" x14ac:dyDescent="0.25">
      <c r="A32" s="1"/>
      <c r="B32" s="16"/>
      <c r="C32" s="17"/>
      <c r="D32" s="1"/>
      <c r="E32" s="1"/>
      <c r="F32" s="1"/>
      <c r="G32" s="1"/>
      <c r="I32" s="1"/>
      <c r="J32" s="1"/>
      <c r="K32" s="1"/>
      <c r="L32" s="1"/>
      <c r="M32" s="1"/>
      <c r="N32" s="1"/>
    </row>
    <row r="33" spans="1:14" x14ac:dyDescent="0.2">
      <c r="A33" s="1"/>
      <c r="B33" s="1"/>
      <c r="C33" s="1"/>
      <c r="D33" s="1"/>
      <c r="E33" s="1"/>
      <c r="F33" s="1"/>
      <c r="G33" s="1"/>
      <c r="I33" s="1"/>
      <c r="J33" s="1"/>
      <c r="K33" s="1"/>
      <c r="L33" s="1"/>
      <c r="M33" s="1"/>
      <c r="N33" s="1"/>
    </row>
    <row r="34" spans="1:14" x14ac:dyDescent="0.2">
      <c r="A34" s="1"/>
      <c r="B34" s="1"/>
      <c r="C34" s="1"/>
      <c r="D34" s="1"/>
      <c r="E34" s="1"/>
      <c r="F34" s="1"/>
      <c r="G34" s="1"/>
      <c r="I34" s="1"/>
      <c r="J34" s="1"/>
      <c r="K34" s="1"/>
      <c r="L34" s="1"/>
      <c r="M34" s="1"/>
      <c r="N34" s="1"/>
    </row>
    <row r="35" spans="1:14" x14ac:dyDescent="0.2">
      <c r="A35" s="1"/>
      <c r="B35" s="1"/>
      <c r="C35" s="1"/>
      <c r="D35" s="1"/>
      <c r="E35" s="1"/>
      <c r="F35" s="1"/>
      <c r="G35" s="1"/>
      <c r="I35" s="1"/>
      <c r="J35" s="1"/>
      <c r="K35" s="1"/>
      <c r="L35" s="1"/>
      <c r="M35" s="1"/>
      <c r="N35" s="1"/>
    </row>
    <row r="36" spans="1:14" x14ac:dyDescent="0.2">
      <c r="A36" s="1"/>
      <c r="B36" s="1"/>
      <c r="C36" s="1"/>
      <c r="D36" s="1"/>
      <c r="E36" s="1"/>
      <c r="F36" s="1"/>
      <c r="G36" s="1"/>
      <c r="I36" s="1"/>
      <c r="J36" s="1"/>
      <c r="K36" s="1"/>
      <c r="L36" s="1"/>
      <c r="M36" s="1"/>
      <c r="N36" s="1"/>
    </row>
  </sheetData>
  <dataValidations count="2">
    <dataValidation type="list" allowBlank="1" showInputMessage="1" showErrorMessage="1" sqref="C24" xr:uid="{6A17FDDF-0D0A-5245-8ED7-AA9CEEC243F6}">
      <formula1>$A$15:$A$16</formula1>
    </dataValidation>
    <dataValidation type="list" allowBlank="1" showInputMessage="1" showErrorMessage="1" sqref="C25" xr:uid="{05FD75CB-2947-484C-A0E8-C9DB0B96F819}">
      <formula1>"YES, NO"</formula1>
    </dataValidation>
  </dataValidations>
  <hyperlinks>
    <hyperlink ref="G5" r:id="rId1" xr:uid="{9C5873BD-4873-DB42-8D7C-A4C4BB7F4DE5}"/>
    <hyperlink ref="G6" r:id="rId2" xr:uid="{8498989B-8533-C54A-9ED7-C8A7EABD4AD8}"/>
    <hyperlink ref="G7" r:id="rId3" xr:uid="{E81B0940-025A-4644-B6E6-B67DAB6947C3}"/>
    <hyperlink ref="G14" r:id="rId4" xr:uid="{1EDDEDEF-2846-3F42-B499-66EB602552C4}"/>
    <hyperlink ref="G15" r:id="rId5" xr:uid="{23B0C47A-2541-144C-A534-125B91074AE4}"/>
    <hyperlink ref="G16" r:id="rId6" xr:uid="{D49EDEEF-931B-4044-BFCF-7C9D9B4E0AAD}"/>
    <hyperlink ref="G17" r:id="rId7" xr:uid="{0FC66F17-8B83-A845-BE6A-F21317A5718F}"/>
    <hyperlink ref="G8" r:id="rId8" xr:uid="{D1D657F3-E41D-FA43-80C1-96F3D41992B4}"/>
    <hyperlink ref="G9" r:id="rId9" location="q=&amp;idx=hbk_live_magento_es_es_products_hbk_price_stock_7_group_0_asc&amp;dFR%5Bconfig%5D%5B0%5D=3&amp;dFR%5Bin_stock%5D%5B0%5D=1&amp;dFR%5Bwarehouses%5D%5B0%5D=Global&amp;dFR%5Bwarehouses%5D%5B1%5D=EU&amp;dFR%5Bwarehouses_stock_data%5D%5B0%5D=Global%7C3&amp;dFR%5Bwarehouses_stock_data%5D%5B1%5D=EU%7C3&amp;hFR%5Bcategories.level0%5D%5B0%5D=Cargadores%20de%20Bater%C3%ADas%20%2F%2F%2F%20Bater%C3%ADas%20%2F%2F%2F%20LiPo&amp;nR%5Bcapacity%5D%5B%3E%3D%5D%5B0%5D=5000&amp;is_v=1" xr:uid="{6019A14D-BE0E-4549-AD81-B02CE6D45A62}"/>
    <hyperlink ref="G11" r:id="rId10" location="q=&amp;idx=hbk_live_magento_es_es_products_hbk_price_stock_7_group_0_asc&amp;dFR%5Bconfig%5D%5B0%5D=3&amp;dFR%5Bin_stock%5D%5B0%5D=1&amp;dFR%5Bwarehouses%5D%5B0%5D=Global&amp;dFR%5Bwarehouses%5D%5B1%5D=EU&amp;dFR%5Bwarehouses_stock_data%5D%5B0%5D=Global%7C3&amp;dFR%5Bwarehouses_stock_data%5D%5B1%5D=EU%7C3&amp;hFR%5Bcategories.level0%5D%5B0%5D=Cargadores%20de%20Bater%C3%ADas%20%2F%2F%2F%20Bater%C3%ADas%20%2F%2F%2F%20LiPo&amp;nR%5Bcapacity%5D%5B%3E%3D%5D%5B0%5D=5000&amp;is_v=1" xr:uid="{2FAAED6F-3DC4-C541-8FCB-D4E1EF5CA48E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Juánez</dc:creator>
  <cp:lastModifiedBy>Rubén Juánez</cp:lastModifiedBy>
  <dcterms:created xsi:type="dcterms:W3CDTF">2023-07-31T13:07:54Z</dcterms:created>
  <dcterms:modified xsi:type="dcterms:W3CDTF">2023-09-17T15:07:12Z</dcterms:modified>
</cp:coreProperties>
</file>